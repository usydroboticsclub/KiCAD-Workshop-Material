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ve\Documents\RoboticsClub\USRC_Keychain_Workshop\"/>
    </mc:Choice>
  </mc:AlternateContent>
  <xr:revisionPtr revIDLastSave="0" documentId="13_ncr:1_{AFBE97D4-44C5-407C-AC0B-3995CC35D03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D16" i="1"/>
  <c r="J12" i="1"/>
</calcChain>
</file>

<file path=xl/sharedStrings.xml><?xml version="1.0" encoding="utf-8"?>
<sst xmlns="http://schemas.openxmlformats.org/spreadsheetml/2006/main" count="59" uniqueCount="50">
  <si>
    <t>Index</t>
  </si>
  <si>
    <t>Manufacturer Part Number</t>
  </si>
  <si>
    <t>Description</t>
  </si>
  <si>
    <t>Attrition %</t>
  </si>
  <si>
    <t>Requested Quantity 1</t>
  </si>
  <si>
    <t>Pack Quantity 1</t>
  </si>
  <si>
    <t>Pack Type 1</t>
  </si>
  <si>
    <t>Digi-Key Part Number 1</t>
  </si>
  <si>
    <t>Unit Price 1</t>
  </si>
  <si>
    <t>Extended Price 1</t>
  </si>
  <si>
    <t>3000</t>
  </si>
  <si>
    <t>BATTERY RETAINER COIN 12MM SMD</t>
  </si>
  <si>
    <t>Bulk</t>
  </si>
  <si>
    <t>36-3000-ND</t>
  </si>
  <si>
    <t>0.48040</t>
  </si>
  <si>
    <t>CC0805KRX7R9BB104</t>
  </si>
  <si>
    <t>CAP CER 0.1UF 50V X7R 0805</t>
  </si>
  <si>
    <t>Cut Tape (CT)</t>
  </si>
  <si>
    <t>311-1140-1-ND</t>
  </si>
  <si>
    <t>0.08660</t>
  </si>
  <si>
    <t>CL21B334KOCNNNC</t>
  </si>
  <si>
    <t>CAP CER 0.33UF 16V X7R 0805</t>
  </si>
  <si>
    <t>1276-1797-1-ND</t>
  </si>
  <si>
    <t>0.04830</t>
  </si>
  <si>
    <t>CRCW0805100KFKEA</t>
  </si>
  <si>
    <t>RES SMD 100K OHM 1% 1/8W 0805</t>
  </si>
  <si>
    <t>541-100KCCT-ND</t>
  </si>
  <si>
    <t>0.03280</t>
  </si>
  <si>
    <t>TC33X-2-103E</t>
  </si>
  <si>
    <t>TRIMMER 10K OHM 0.15W J LEAD TOP</t>
  </si>
  <si>
    <t>TC33X-103ECT-ND</t>
  </si>
  <si>
    <t>0.31280</t>
  </si>
  <si>
    <t>JS102011SAQN</t>
  </si>
  <si>
    <t>SWITCH SLIDE SPDT 300MA 6V</t>
  </si>
  <si>
    <t>401-1999-1-ND</t>
  </si>
  <si>
    <t>1.04360</t>
  </si>
  <si>
    <t>ICM7555CBAZ-T</t>
  </si>
  <si>
    <t>IC OSC SINGLE TIMER 1MHZ 8-SOIC</t>
  </si>
  <si>
    <t>ICM7555CBAZ-TCT-ND</t>
  </si>
  <si>
    <t>0.72760</t>
  </si>
  <si>
    <t>CD4017BM96</t>
  </si>
  <si>
    <t>IC DECADE COUNTER 10BIT 16SOIC</t>
  </si>
  <si>
    <t>296-25940-1-ND</t>
  </si>
  <si>
    <t>Total Sum</t>
  </si>
  <si>
    <t>Digikey Order</t>
  </si>
  <si>
    <t>JLCPCB Order</t>
  </si>
  <si>
    <t>Qty</t>
  </si>
  <si>
    <t>Total (incl. shipping)</t>
  </si>
  <si>
    <t>Unit Price Per PCB</t>
  </si>
  <si>
    <t>Above is the total sum for 30 PCBs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</si>
</sst>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C09]* #,##0.00_-;\-[$$-C09]* #,##0.00_-;_-[$$-C09]* &quot;-&quot;??_-;_-@_-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0" fontId="0" fillId="0" borderId="1" xfId="0" applyBorder="1"/>
    <xf numFmtId="0" fontId="0" fillId="0" borderId="1" xfId="0" applyNumberFormat="1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21"/>
  <sheetViews>
    <sheetView tabSelected="1" zoomScale="85" zoomScaleNormal="85" workbookViewId="0">
      <selection activeCell="E17" sqref="E17"/>
    </sheetView>
  </sheetViews>
  <sheetFormatPr defaultRowHeight="14.25" x14ac:dyDescent="0.45"/>
  <cols>
    <col min="2" max="2" width="24.06640625" customWidth="1"/>
    <col min="3" max="3" width="32.9296875" customWidth="1"/>
    <col min="4" max="4" width="17.796875" customWidth="1"/>
    <col min="7" max="7" width="17.59765625" customWidth="1"/>
    <col min="8" max="8" width="26.33203125" customWidth="1"/>
    <col min="9" max="9" width="18.33203125" customWidth="1"/>
    <col min="10" max="10" width="24.1328125" customWidth="1"/>
  </cols>
  <sheetData>
    <row r="2" spans="1:14" x14ac:dyDescent="0.45">
      <c r="B2" s="6" t="s">
        <v>44</v>
      </c>
      <c r="C2" s="6"/>
    </row>
    <row r="3" spans="1:14" x14ac:dyDescent="0.4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</row>
    <row r="4" spans="1:14" x14ac:dyDescent="0.45">
      <c r="A4" s="2">
        <v>1</v>
      </c>
      <c r="B4" s="2" t="s">
        <v>10</v>
      </c>
      <c r="C4" s="2" t="s">
        <v>11</v>
      </c>
      <c r="D4" s="2"/>
      <c r="E4" s="2">
        <v>30</v>
      </c>
      <c r="F4" s="2">
        <v>30</v>
      </c>
      <c r="G4" s="2" t="s">
        <v>12</v>
      </c>
      <c r="H4" s="2" t="s">
        <v>13</v>
      </c>
      <c r="I4" s="2" t="s">
        <v>14</v>
      </c>
      <c r="J4" s="3">
        <v>14.41</v>
      </c>
      <c r="N4" s="1"/>
    </row>
    <row r="5" spans="1:14" x14ac:dyDescent="0.45">
      <c r="A5" s="2">
        <v>2</v>
      </c>
      <c r="B5" s="2" t="s">
        <v>15</v>
      </c>
      <c r="C5" s="2" t="s">
        <v>16</v>
      </c>
      <c r="D5" s="2"/>
      <c r="E5" s="2">
        <v>100</v>
      </c>
      <c r="F5" s="2">
        <v>100</v>
      </c>
      <c r="G5" s="2" t="s">
        <v>17</v>
      </c>
      <c r="H5" s="2" t="s">
        <v>18</v>
      </c>
      <c r="I5" s="2" t="s">
        <v>19</v>
      </c>
      <c r="J5" s="3">
        <v>8.66</v>
      </c>
      <c r="N5" s="1"/>
    </row>
    <row r="6" spans="1:14" x14ac:dyDescent="0.45">
      <c r="A6" s="2">
        <v>3</v>
      </c>
      <c r="B6" s="2" t="s">
        <v>20</v>
      </c>
      <c r="C6" s="2" t="s">
        <v>21</v>
      </c>
      <c r="D6" s="2"/>
      <c r="E6" s="2">
        <v>100</v>
      </c>
      <c r="F6" s="2">
        <v>100</v>
      </c>
      <c r="G6" s="2" t="s">
        <v>17</v>
      </c>
      <c r="H6" s="2" t="s">
        <v>22</v>
      </c>
      <c r="I6" s="2" t="s">
        <v>23</v>
      </c>
      <c r="J6" s="3">
        <v>4.83</v>
      </c>
      <c r="N6" s="1"/>
    </row>
    <row r="7" spans="1:14" x14ac:dyDescent="0.45">
      <c r="A7" s="2">
        <v>4</v>
      </c>
      <c r="B7" s="2" t="s">
        <v>24</v>
      </c>
      <c r="C7" s="2" t="s">
        <v>25</v>
      </c>
      <c r="D7" s="2"/>
      <c r="E7" s="2">
        <v>100</v>
      </c>
      <c r="F7" s="2">
        <v>100</v>
      </c>
      <c r="G7" s="2" t="s">
        <v>17</v>
      </c>
      <c r="H7" s="2" t="s">
        <v>26</v>
      </c>
      <c r="I7" s="2" t="s">
        <v>27</v>
      </c>
      <c r="J7" s="3">
        <v>3.28</v>
      </c>
      <c r="N7" s="1"/>
    </row>
    <row r="8" spans="1:14" x14ac:dyDescent="0.45">
      <c r="A8" s="2">
        <v>5</v>
      </c>
      <c r="B8" s="2" t="s">
        <v>28</v>
      </c>
      <c r="C8" s="2" t="s">
        <v>29</v>
      </c>
      <c r="D8" s="2"/>
      <c r="E8" s="2">
        <v>30</v>
      </c>
      <c r="F8" s="2">
        <v>30</v>
      </c>
      <c r="G8" s="2" t="s">
        <v>17</v>
      </c>
      <c r="H8" s="2" t="s">
        <v>30</v>
      </c>
      <c r="I8" s="2" t="s">
        <v>31</v>
      </c>
      <c r="J8" s="3">
        <v>9.3800000000000008</v>
      </c>
      <c r="N8" s="1"/>
    </row>
    <row r="9" spans="1:14" x14ac:dyDescent="0.45">
      <c r="A9" s="2">
        <v>6</v>
      </c>
      <c r="B9" s="2" t="s">
        <v>32</v>
      </c>
      <c r="C9" s="2" t="s">
        <v>33</v>
      </c>
      <c r="D9" s="2"/>
      <c r="E9" s="2">
        <v>30</v>
      </c>
      <c r="F9" s="2">
        <v>30</v>
      </c>
      <c r="G9" s="2" t="s">
        <v>17</v>
      </c>
      <c r="H9" s="2" t="s">
        <v>34</v>
      </c>
      <c r="I9" s="2" t="s">
        <v>35</v>
      </c>
      <c r="J9" s="3">
        <v>31.31</v>
      </c>
      <c r="N9" s="1"/>
    </row>
    <row r="10" spans="1:14" x14ac:dyDescent="0.45">
      <c r="A10" s="2">
        <v>7</v>
      </c>
      <c r="B10" s="2" t="s">
        <v>36</v>
      </c>
      <c r="C10" s="2" t="s">
        <v>37</v>
      </c>
      <c r="D10" s="2"/>
      <c r="E10" s="2">
        <v>30</v>
      </c>
      <c r="F10" s="2">
        <v>30</v>
      </c>
      <c r="G10" s="2" t="s">
        <v>17</v>
      </c>
      <c r="H10" s="2" t="s">
        <v>38</v>
      </c>
      <c r="I10" s="2" t="s">
        <v>39</v>
      </c>
      <c r="J10" s="3">
        <v>21.83</v>
      </c>
      <c r="N10" s="1"/>
    </row>
    <row r="11" spans="1:14" x14ac:dyDescent="0.45">
      <c r="A11" s="2">
        <v>8</v>
      </c>
      <c r="B11" s="2" t="s">
        <v>40</v>
      </c>
      <c r="C11" s="2" t="s">
        <v>41</v>
      </c>
      <c r="D11" s="2"/>
      <c r="E11" s="2">
        <v>30</v>
      </c>
      <c r="F11" s="2">
        <v>30</v>
      </c>
      <c r="G11" s="2" t="s">
        <v>17</v>
      </c>
      <c r="H11" s="2" t="s">
        <v>42</v>
      </c>
      <c r="I11" s="2" t="s">
        <v>39</v>
      </c>
      <c r="J11" s="3">
        <v>21.83</v>
      </c>
      <c r="N11" s="1"/>
    </row>
    <row r="12" spans="1:14" x14ac:dyDescent="0.45">
      <c r="A12" s="4" t="s">
        <v>43</v>
      </c>
      <c r="B12" s="4"/>
      <c r="C12" s="4"/>
      <c r="D12" s="4"/>
      <c r="E12" s="4"/>
      <c r="F12" s="4"/>
      <c r="G12" s="4"/>
      <c r="H12" s="4"/>
      <c r="I12" s="4"/>
      <c r="J12" s="5">
        <f>SUM(J4:J11)</f>
        <v>115.53</v>
      </c>
    </row>
    <row r="14" spans="1:14" x14ac:dyDescent="0.45">
      <c r="A14" s="7" t="s">
        <v>45</v>
      </c>
      <c r="B14" s="8"/>
      <c r="C14" s="8"/>
      <c r="D14" s="9"/>
    </row>
    <row r="15" spans="1:14" x14ac:dyDescent="0.45">
      <c r="A15" s="2" t="s">
        <v>0</v>
      </c>
      <c r="B15" s="2" t="s">
        <v>46</v>
      </c>
      <c r="C15" s="2" t="s">
        <v>47</v>
      </c>
      <c r="D15" s="2" t="s">
        <v>48</v>
      </c>
    </row>
    <row r="16" spans="1:14" x14ac:dyDescent="0.45">
      <c r="A16" s="2">
        <v>1</v>
      </c>
      <c r="B16" s="2">
        <v>30</v>
      </c>
      <c r="C16" s="2">
        <v>72.7</v>
      </c>
      <c r="D16" s="2">
        <f>C16/B16</f>
        <v>2.4233333333333333</v>
      </c>
    </row>
    <row r="18" spans="2:3" x14ac:dyDescent="0.45">
      <c r="B18" s="2" t="s">
        <v>43</v>
      </c>
      <c r="C18" s="5">
        <f>J12+C16</f>
        <v>188.23000000000002</v>
      </c>
    </row>
    <row r="20" spans="2:3" x14ac:dyDescent="0.45">
      <c r="B20" s="10" t="s">
        <v>49</v>
      </c>
      <c r="C20" s="10"/>
    </row>
    <row r="21" spans="2:3" x14ac:dyDescent="0.45">
      <c r="B21" s="10"/>
      <c r="C21" s="10"/>
    </row>
  </sheetData>
  <mergeCells count="4">
    <mergeCell ref="A12:I12"/>
    <mergeCell ref="B2:C2"/>
    <mergeCell ref="A14:D14"/>
    <mergeCell ref="B20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Parvez M</dc:creator>
  <cp:lastModifiedBy>Parvez Manahan</cp:lastModifiedBy>
  <dcterms:created xsi:type="dcterms:W3CDTF">2026-09-18T01:26:10Z</dcterms:created>
  <dcterms:modified xsi:type="dcterms:W3CDTF">2026-09-18T01:26:42Z</dcterms:modified>
</cp:coreProperties>
</file>